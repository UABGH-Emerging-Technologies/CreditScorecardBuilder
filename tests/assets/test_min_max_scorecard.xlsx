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ecard Calculator" sheetId="1" state="visible" r:id="rId1"/>
    <sheet name="Lookups"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font>
    <font>
      <b val="1"/>
      <color rgb="00FFFFFF"/>
      <sz val="12"/>
    </font>
    <font>
      <b val="1"/>
      <sz val="12"/>
    </font>
    <font>
      <b val="1"/>
      <sz val="14"/>
    </font>
  </fonts>
  <fills count="6">
    <fill>
      <patternFill/>
    </fill>
    <fill>
      <patternFill patternType="gray125"/>
    </fill>
    <fill>
      <patternFill patternType="solid">
        <fgColor rgb="00366092"/>
        <bgColor rgb="00366092"/>
      </patternFill>
    </fill>
    <fill>
      <patternFill patternType="solid">
        <fgColor rgb="00E7F3FF"/>
        <bgColor rgb="00E7F3FF"/>
      </patternFill>
    </fill>
    <fill>
      <patternFill patternType="solid">
        <fgColor rgb="00F2F2F2"/>
        <bgColor rgb="00F2F2F2"/>
      </patternFill>
    </fill>
    <fill>
      <patternFill patternType="solid">
        <fgColor rgb="0070AD47"/>
        <bgColor rgb="0070AD47"/>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left" vertical="top" wrapText="1"/>
    </xf>
    <xf numFmtId="0" fontId="3" fillId="2" borderId="1" applyAlignment="1" pivotButton="0" quotePrefix="0" xfId="0">
      <alignment horizontal="center" vertical="center"/>
    </xf>
    <xf numFmtId="0" fontId="0" fillId="3" borderId="1" applyProtection="1" pivotButton="0" quotePrefix="0" xfId="0">
      <protection locked="0" hidden="0"/>
    </xf>
    <xf numFmtId="0" fontId="0" fillId="4" borderId="1" pivotButton="0" quotePrefix="0" xfId="0"/>
    <xf numFmtId="0" fontId="4" fillId="0" borderId="0" pivotButton="0" quotePrefix="0" xfId="0"/>
    <xf numFmtId="0" fontId="5" fillId="5" borderId="2" applyAlignment="1" pivotButton="0" quotePrefix="0" xfId="0">
      <alignment horizontal="center" vertical="center"/>
    </xf>
    <xf numFmtId="0" fontId="2" fillId="0" borderId="0" pivotButton="0" quotePrefix="0" xfId="0"/>
    <xf numFmtId="1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25" customWidth="1" min="1" max="1"/>
    <col width="30" customWidth="1" min="2" max="2"/>
    <col width="15" customWidth="1" min="3" max="3"/>
  </cols>
  <sheetData>
    <row r="1">
      <c r="A1" s="1" t="inlineStr">
        <is>
          <t>Clinical Risk Scorecard Calculator</t>
        </is>
      </c>
    </row>
    <row r="3">
      <c r="A3" s="2" t="inlineStr">
        <is>
          <t>Select the appropriate bin for each feature from the dropdown in the blue cells below. The bins show the ranges or categories that apply. Select from the dropdown or leave blank if the value is not available. The scorecard will automatically calculate the points based on your selections.</t>
        </is>
      </c>
    </row>
    <row r="4"/>
    <row r="6">
      <c r="A6" s="3" t="inlineStr">
        <is>
          <t>Feature</t>
        </is>
      </c>
      <c r="B6" s="3" t="inlineStr">
        <is>
          <t>Select Bin</t>
        </is>
      </c>
      <c r="C6" s="3" t="inlineStr">
        <is>
          <t>Points</t>
        </is>
      </c>
    </row>
    <row r="7">
      <c r="A7" t="inlineStr">
        <is>
          <t>age</t>
        </is>
      </c>
      <c r="B7" s="4" t="n"/>
      <c r="C7" s="5">
        <f>IF(OR(B7="", ISBLANK(B7)), 0, IFERROR(VLOOKUP(B7, Lookups!B2:C8, 2, FALSE), 0))</f>
        <v/>
      </c>
    </row>
    <row r="8">
      <c r="A8" t="inlineStr">
        <is>
          <t>income</t>
        </is>
      </c>
      <c r="B8" s="4" t="n"/>
      <c r="C8" s="5">
        <f>IF(OR(B8="", ISBLANK(B8)), 0, IFERROR(VLOOKUP(B8, Lookups!B9:C15, 2, FALSE), 0))</f>
        <v/>
      </c>
    </row>
    <row r="9">
      <c r="A9" t="inlineStr">
        <is>
          <t>credit_score</t>
        </is>
      </c>
      <c r="B9" s="4" t="n"/>
      <c r="C9" s="5">
        <f>IF(OR(B9="", ISBLANK(B9)), 0, IFERROR(VLOOKUP(B9, Lookups!B16:C22, 2, FALSE), 0))</f>
        <v/>
      </c>
    </row>
    <row r="10">
      <c r="A10" t="inlineStr">
        <is>
          <t>debt_ratio</t>
        </is>
      </c>
      <c r="B10" s="4" t="n"/>
      <c r="C10" s="5">
        <f>IF(OR(B10="", ISBLANK(B10)), 0, IFERROR(VLOOKUP(B10, Lookups!B23:C29, 2, FALSE), 0))</f>
        <v/>
      </c>
    </row>
    <row r="11">
      <c r="A11" t="inlineStr">
        <is>
          <t>employment_years</t>
        </is>
      </c>
      <c r="B11" s="4" t="n"/>
      <c r="C11" s="5">
        <f>IF(OR(B11="", ISBLANK(B11)), 0, IFERROR(VLOOKUP(B11, Lookups!B30:C36, 2, FALSE), 0))</f>
        <v/>
      </c>
    </row>
    <row r="13">
      <c r="B13" s="6" t="inlineStr">
        <is>
          <t>TOTAL SCORE:</t>
        </is>
      </c>
      <c r="C13" s="7">
        <f>SUM(C7:C11)</f>
        <v/>
      </c>
    </row>
    <row r="15">
      <c r="B15" s="8" t="inlineStr">
        <is>
          <t>Risk Probability:</t>
        </is>
      </c>
      <c r="C15" s="9">
        <f>(C13-0)/(1000-0)</f>
        <v/>
      </c>
    </row>
    <row r="16">
      <c r="B16" s="8" t="inlineStr">
        <is>
          <t>Risk Category:</t>
        </is>
      </c>
      <c r="C16" s="5">
        <f>IF(C13&gt;=800.0,"Very High Risk",IF(C13&gt;=600.0,"High Risk",IF(C13&gt;=400.0,"Medium Risk",IF(C13&gt;=200.0,"Low Risk","Very Low Risk"))))</f>
        <v/>
      </c>
    </row>
  </sheetData>
  <sheetProtection selectLockedCells="0" selectUnlockedCells="0" sheet="1" objects="0" insertRows="1" insertHyperlinks="1" autoFilter="1" scenarios="0" formatColumns="1" deleteColumns="1" insertColumns="1" pivotTables="1" deleteRows="1" formatCells="1" formatRows="1" sort="1"/>
  <mergeCells count="2">
    <mergeCell ref="A3:D4"/>
    <mergeCell ref="A1:D1"/>
  </mergeCells>
  <dataValidations count="5">
    <dataValidation sqref="B7" showDropDown="0" showInputMessage="0" showErrorMessage="0" allowBlank="1" errorTitle="Invalid Selection" error="Please select a bin from the dropdown" promptTitle="Bin Selection" prompt="Please select from the list" type="list">
      <formula1>"&lt; 22.55,22.55 ≤ x &lt; 39.54,39.54 ≤ x &lt; 51.13,51.13 ≤ x &lt; 67.51,≥ 67.51,Special,Missing"</formula1>
    </dataValidation>
    <dataValidation sqref="B8" showDropDown="0" showInputMessage="0" showErrorMessage="0" allowBlank="1" errorTitle="Invalid Selection" error="Please select a bin from the dropdown" promptTitle="Bin Selection" prompt="Please select from the list" type="list">
      <formula1>"&lt; 22212.30,22212.30 ≤ x &lt; 25516.85,25516.85 ≤ x &lt; 27288.42,27288.42 ≤ x &lt; 29055.89,≥ 29055.89,Special,Missing"</formula1>
    </dataValidation>
    <dataValidation sqref="B9" showDropDown="0" showInputMessage="0" showErrorMessage="0" allowBlank="1" errorTitle="Invalid Selection" error="Please select a bin from the dropdown" promptTitle="Bin Selection" prompt="Please select from the list" type="list">
      <formula1>"&lt; 488.30,488.30 ≤ x &lt; 610.37,610.37 ≤ x &lt; 637.99,637.99 ≤ x &lt; 813.68,≥ 813.68,Special,Missing"</formula1>
    </dataValidation>
    <dataValidation sqref="B10" showDropDown="0" showInputMessage="0" showErrorMessage="0" allowBlank="1" errorTitle="Invalid Selection" error="Please select a bin from the dropdown" promptTitle="Bin Selection" prompt="Please select from the list" type="list">
      <formula1>"&lt; 0.25,0.25 ≤ x &lt; 0.31,0.31 ≤ x &lt; 0.31,0.31 ≤ x &lt; 0.41,≥ 0.41,Special,Missing"</formula1>
    </dataValidation>
    <dataValidation sqref="B11" showDropDown="0" showInputMessage="0" showErrorMessage="0" allowBlank="1" errorTitle="Invalid Selection" error="Please select a bin from the dropdown" promptTitle="Bin Selection" prompt="Please select from the list" type="list">
      <formula1>"&lt; 0.72,0.72 ≤ x &lt; 2.94,2.94 ≤ x &lt; 7.87,7.87 ≤ x &lt; 9.21,≥ 9.21,Special,Missing"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5" customWidth="1" min="1" max="1"/>
    <col width="30" customWidth="1" min="2" max="2"/>
    <col width="15" customWidth="1" min="3" max="3"/>
  </cols>
  <sheetData>
    <row r="1">
      <c r="A1" s="8" t="inlineStr">
        <is>
          <t>Feature</t>
        </is>
      </c>
      <c r="B1" s="8" t="inlineStr">
        <is>
          <t>Bin</t>
        </is>
      </c>
      <c r="C1" s="8" t="inlineStr">
        <is>
          <t>Points</t>
        </is>
      </c>
    </row>
    <row r="2">
      <c r="A2" t="inlineStr">
        <is>
          <t>age</t>
        </is>
      </c>
      <c r="B2" t="inlineStr">
        <is>
          <t>&lt; 22.55</t>
        </is>
      </c>
      <c r="C2" t="n">
        <v>0</v>
      </c>
    </row>
    <row r="3">
      <c r="A3" t="inlineStr">
        <is>
          <t>age</t>
        </is>
      </c>
      <c r="B3" t="inlineStr">
        <is>
          <t>22.55 ≤ x &lt; 39.54</t>
        </is>
      </c>
      <c r="C3" t="n">
        <v>69.24262477746022</v>
      </c>
    </row>
    <row r="4">
      <c r="A4" t="inlineStr">
        <is>
          <t>age</t>
        </is>
      </c>
      <c r="B4" t="inlineStr">
        <is>
          <t>39.54 ≤ x &lt; 51.13</t>
        </is>
      </c>
      <c r="C4" t="n">
        <v>103.576384217813</v>
      </c>
    </row>
    <row r="5">
      <c r="A5" t="inlineStr">
        <is>
          <t>age</t>
        </is>
      </c>
      <c r="B5" t="inlineStr">
        <is>
          <t>51.13 ≤ x &lt; 67.51</t>
        </is>
      </c>
      <c r="C5" t="n">
        <v>124.0808145690752</v>
      </c>
    </row>
    <row r="6">
      <c r="A6" t="inlineStr">
        <is>
          <t>age</t>
        </is>
      </c>
      <c r="B6" t="inlineStr">
        <is>
          <t>≥ 67.51</t>
        </is>
      </c>
      <c r="C6" t="n">
        <v>282.7340934714267</v>
      </c>
    </row>
    <row r="7">
      <c r="A7" t="inlineStr">
        <is>
          <t>age</t>
        </is>
      </c>
      <c r="B7" t="inlineStr">
        <is>
          <t>Special</t>
        </is>
      </c>
      <c r="C7" t="n">
        <v>100.5874029271705</v>
      </c>
    </row>
    <row r="8">
      <c r="A8" t="inlineStr">
        <is>
          <t>age</t>
        </is>
      </c>
      <c r="B8" t="inlineStr">
        <is>
          <t>Missing</t>
        </is>
      </c>
      <c r="C8" t="n">
        <v>100.5874029271705</v>
      </c>
    </row>
    <row r="9">
      <c r="A9" t="inlineStr">
        <is>
          <t>income</t>
        </is>
      </c>
      <c r="B9" t="inlineStr">
        <is>
          <t>&lt; 22212.30</t>
        </is>
      </c>
      <c r="C9" t="n">
        <v>240.030962288595</v>
      </c>
    </row>
    <row r="10">
      <c r="A10" t="inlineStr">
        <is>
          <t>income</t>
        </is>
      </c>
      <c r="B10" t="inlineStr">
        <is>
          <t>22212.30 ≤ x &lt; 25516.85</t>
        </is>
      </c>
      <c r="C10" t="n">
        <v>206.5539450799516</v>
      </c>
    </row>
    <row r="11">
      <c r="A11" t="inlineStr">
        <is>
          <t>income</t>
        </is>
      </c>
      <c r="B11" t="inlineStr">
        <is>
          <t>25516.85 ≤ x &lt; 27288.42</t>
        </is>
      </c>
      <c r="C11" t="n">
        <v>70.39192598182157</v>
      </c>
    </row>
    <row r="12">
      <c r="A12" t="inlineStr">
        <is>
          <t>income</t>
        </is>
      </c>
      <c r="B12" t="inlineStr">
        <is>
          <t>27288.42 ≤ x &lt; 29055.89</t>
        </is>
      </c>
      <c r="C12" t="n">
        <v>0</v>
      </c>
    </row>
    <row r="13">
      <c r="A13" t="inlineStr">
        <is>
          <t>income</t>
        </is>
      </c>
      <c r="B13" t="inlineStr">
        <is>
          <t>≥ 29055.89</t>
        </is>
      </c>
      <c r="C13" t="n">
        <v>140.5482916416452</v>
      </c>
    </row>
    <row r="14">
      <c r="A14" t="inlineStr">
        <is>
          <t>income</t>
        </is>
      </c>
      <c r="B14" t="inlineStr">
        <is>
          <t>Special</t>
        </is>
      </c>
      <c r="C14" t="n">
        <v>187.2550981868657</v>
      </c>
    </row>
    <row r="15">
      <c r="A15" t="inlineStr">
        <is>
          <t>income</t>
        </is>
      </c>
      <c r="B15" t="inlineStr">
        <is>
          <t>Missing</t>
        </is>
      </c>
      <c r="C15" t="n">
        <v>187.2550981868657</v>
      </c>
    </row>
    <row r="16">
      <c r="A16" t="inlineStr">
        <is>
          <t>credit_score</t>
        </is>
      </c>
      <c r="B16" t="inlineStr">
        <is>
          <t>&lt; 488.30</t>
        </is>
      </c>
      <c r="C16" t="n">
        <v>263.5078882852254</v>
      </c>
    </row>
    <row r="17">
      <c r="A17" t="inlineStr">
        <is>
          <t>credit_score</t>
        </is>
      </c>
      <c r="B17" t="inlineStr">
        <is>
          <t>488.30 ≤ x &lt; 610.37</t>
        </is>
      </c>
      <c r="C17" t="n">
        <v>125.6485148653904</v>
      </c>
    </row>
    <row r="18">
      <c r="A18" t="inlineStr">
        <is>
          <t>credit_score</t>
        </is>
      </c>
      <c r="B18" t="inlineStr">
        <is>
          <t>610.37 ≤ x &lt; 637.99</t>
        </is>
      </c>
      <c r="C18" t="n">
        <v>0</v>
      </c>
    </row>
    <row r="19">
      <c r="A19" t="inlineStr">
        <is>
          <t>credit_score</t>
        </is>
      </c>
      <c r="B19" t="inlineStr">
        <is>
          <t>637.99 ≤ x &lt; 813.68</t>
        </is>
      </c>
      <c r="C19" t="n">
        <v>70.15128262268024</v>
      </c>
    </row>
    <row r="20">
      <c r="A20" t="inlineStr">
        <is>
          <t>credit_score</t>
        </is>
      </c>
      <c r="B20" t="inlineStr">
        <is>
          <t>≥ 813.68</t>
        </is>
      </c>
      <c r="C20" t="n">
        <v>97.78981303912708</v>
      </c>
    </row>
    <row r="21">
      <c r="A21" t="inlineStr">
        <is>
          <t>credit_score</t>
        </is>
      </c>
      <c r="B21" t="inlineStr">
        <is>
          <t>Special</t>
        </is>
      </c>
      <c r="C21" t="n">
        <v>95.12186289608088</v>
      </c>
    </row>
    <row r="22">
      <c r="A22" t="inlineStr">
        <is>
          <t>credit_score</t>
        </is>
      </c>
      <c r="B22" t="inlineStr">
        <is>
          <t>Missing</t>
        </is>
      </c>
      <c r="C22" t="n">
        <v>95.12186289608088</v>
      </c>
    </row>
    <row r="23">
      <c r="A23" t="inlineStr">
        <is>
          <t>debt_ratio</t>
        </is>
      </c>
      <c r="B23" t="inlineStr">
        <is>
          <t>&lt; 0.25</t>
        </is>
      </c>
      <c r="C23" t="n">
        <v>89.16590442406103</v>
      </c>
    </row>
    <row r="24">
      <c r="A24" t="inlineStr">
        <is>
          <t>debt_ratio</t>
        </is>
      </c>
      <c r="B24" t="inlineStr">
        <is>
          <t>0.25 ≤ x &lt; 0.31</t>
        </is>
      </c>
      <c r="C24" t="n">
        <v>47.18659895234174</v>
      </c>
    </row>
    <row r="25">
      <c r="A25" t="inlineStr">
        <is>
          <t>debt_ratio</t>
        </is>
      </c>
      <c r="B25" t="inlineStr">
        <is>
          <t>0.31 ≤ x &lt; 0.31</t>
        </is>
      </c>
      <c r="C25" t="n">
        <v>0</v>
      </c>
    </row>
    <row r="26">
      <c r="A26" t="inlineStr">
        <is>
          <t>debt_ratio</t>
        </is>
      </c>
      <c r="B26" t="inlineStr">
        <is>
          <t>0.31 ≤ x &lt; 0.41</t>
        </is>
      </c>
      <c r="C26" t="n">
        <v>86.3346317628835</v>
      </c>
    </row>
    <row r="27">
      <c r="A27" t="inlineStr">
        <is>
          <t>debt_ratio</t>
        </is>
      </c>
      <c r="B27" t="inlineStr">
        <is>
          <t>≥ 0.41</t>
        </is>
      </c>
      <c r="C27" t="n">
        <v>102.8819002328067</v>
      </c>
    </row>
    <row r="28">
      <c r="A28" t="inlineStr">
        <is>
          <t>debt_ratio</t>
        </is>
      </c>
      <c r="B28" t="inlineStr">
        <is>
          <t>Special</t>
        </is>
      </c>
      <c r="C28" t="n">
        <v>83.84320863566647</v>
      </c>
    </row>
    <row r="29">
      <c r="A29" t="inlineStr">
        <is>
          <t>debt_ratio</t>
        </is>
      </c>
      <c r="B29" t="inlineStr">
        <is>
          <t>Missing</t>
        </is>
      </c>
      <c r="C29" t="n">
        <v>83.84320863566647</v>
      </c>
    </row>
    <row r="30">
      <c r="A30" t="inlineStr">
        <is>
          <t>employment_years</t>
        </is>
      </c>
      <c r="B30" t="inlineStr">
        <is>
          <t>&lt; 0.72</t>
        </is>
      </c>
      <c r="C30" t="n">
        <v>110.8451557219461</v>
      </c>
    </row>
    <row r="31">
      <c r="A31" t="inlineStr">
        <is>
          <t>employment_years</t>
        </is>
      </c>
      <c r="B31" t="inlineStr">
        <is>
          <t>0.72 ≤ x &lt; 2.94</t>
        </is>
      </c>
      <c r="C31" t="n">
        <v>101.5784150709479</v>
      </c>
    </row>
    <row r="32">
      <c r="A32" t="inlineStr">
        <is>
          <t>employment_years</t>
        </is>
      </c>
      <c r="B32" t="inlineStr">
        <is>
          <t>2.94 ≤ x &lt; 7.87</t>
        </is>
      </c>
      <c r="C32" t="n">
        <v>93.09345513094947</v>
      </c>
    </row>
    <row r="33">
      <c r="A33" t="inlineStr">
        <is>
          <t>employment_years</t>
        </is>
      </c>
      <c r="B33" t="inlineStr">
        <is>
          <t>7.87 ≤ x &lt; 9.21</t>
        </is>
      </c>
      <c r="C33" t="n">
        <v>0</v>
      </c>
    </row>
    <row r="34">
      <c r="A34" t="inlineStr">
        <is>
          <t>employment_years</t>
        </is>
      </c>
      <c r="B34" t="inlineStr">
        <is>
          <t>≥ 9.21</t>
        </is>
      </c>
      <c r="C34" t="n">
        <v>37.25869236727012</v>
      </c>
    </row>
    <row r="35">
      <c r="A35" t="inlineStr">
        <is>
          <t>employment_years</t>
        </is>
      </c>
      <c r="B35" t="inlineStr">
        <is>
          <t>Special</t>
        </is>
      </c>
      <c r="C35" t="n">
        <v>87.18125576704708</v>
      </c>
    </row>
    <row r="36">
      <c r="A36" t="inlineStr">
        <is>
          <t>employment_years</t>
        </is>
      </c>
      <c r="B36" t="inlineStr">
        <is>
          <t>Missing</t>
        </is>
      </c>
      <c r="C36" t="n">
        <v>87.18125576704708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2025-06-23T22:00:15Z</dcterms:created>
  <dcterms:modified xsi:type="dcterms:W3CDTF">2025-06-23T22:00:15Z</dcterms:modified>
</cp:coreProperties>
</file>